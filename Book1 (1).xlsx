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rdhman aameria\Desktop\"/>
    </mc:Choice>
  </mc:AlternateContent>
  <bookViews>
    <workbookView xWindow="0" yWindow="0" windowWidth="19368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1" l="1"/>
  <c r="D18" i="1"/>
  <c r="G17" i="1"/>
  <c r="D17" i="1"/>
  <c r="G16" i="1"/>
  <c r="D16" i="1"/>
  <c r="G15" i="1"/>
  <c r="D15" i="1"/>
  <c r="G14" i="1"/>
  <c r="D14" i="1"/>
  <c r="E13" i="1"/>
  <c r="G13" i="1" s="1"/>
  <c r="G12" i="1"/>
  <c r="D12" i="1"/>
  <c r="G11" i="1"/>
  <c r="D11" i="1"/>
  <c r="G10" i="1"/>
  <c r="D10" i="1"/>
  <c r="G9" i="1"/>
  <c r="D9" i="1"/>
  <c r="G8" i="1"/>
  <c r="D8" i="1"/>
  <c r="G7" i="1"/>
  <c r="D7" i="1"/>
  <c r="G6" i="1"/>
  <c r="D6" i="1"/>
  <c r="G5" i="1"/>
  <c r="D5" i="1"/>
  <c r="D19" i="1" s="1"/>
  <c r="E4" i="1"/>
  <c r="E19" i="1" s="1"/>
  <c r="G20" i="1" s="1"/>
  <c r="G4" i="1" l="1"/>
  <c r="G19" i="1" s="1"/>
</calcChain>
</file>

<file path=xl/comments1.xml><?xml version="1.0" encoding="utf-8"?>
<comments xmlns="http://schemas.openxmlformats.org/spreadsheetml/2006/main">
  <authors>
    <author>vardhman aameria</author>
  </authors>
  <commentList>
    <comment ref="B6" authorId="0" shapeId="0">
      <text>
        <r>
          <rPr>
            <b/>
            <sz val="9"/>
            <color indexed="81"/>
            <rFont val="Tahoma"/>
            <charset val="1"/>
          </rPr>
          <t>vardhman aameria: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<sst xmlns="http://schemas.openxmlformats.org/spreadsheetml/2006/main" count="25" uniqueCount="25">
  <si>
    <t>125 KW WITH 100 KW INVERTER - MONO - 590 WATT Waaree Mittal Hospital</t>
  </si>
  <si>
    <t>S.No.</t>
  </si>
  <si>
    <t>DESCRIPTION</t>
  </si>
  <si>
    <t>CAPACITY  ( W )</t>
  </si>
  <si>
    <t>RATE ( ₹ / WATT )</t>
  </si>
  <si>
    <t>PRICE( ₹ )</t>
  </si>
  <si>
    <t>GST (%)</t>
  </si>
  <si>
    <t>TOTAL PRICE ( ₹ )</t>
  </si>
  <si>
    <t>Solar Panel</t>
  </si>
  <si>
    <t>Inverter ( 100 KW )</t>
  </si>
  <si>
    <t>Structure( approx 3300 kg)</t>
  </si>
  <si>
    <t>ACDB / DCDB</t>
  </si>
  <si>
    <t>AC wire</t>
  </si>
  <si>
    <t>DC Wire (1100 mtr)</t>
  </si>
  <si>
    <t>Earthing + LA + Earthing labor</t>
  </si>
  <si>
    <t>Earthing wire</t>
  </si>
  <si>
    <t>Transportation</t>
  </si>
  <si>
    <t>Welding &amp; Labour</t>
  </si>
  <si>
    <t>CTPT Coil ( 4 Pcs)</t>
  </si>
  <si>
    <t xml:space="preserve"> MIB Box</t>
  </si>
  <si>
    <t>Solar meter / Net Meter</t>
  </si>
  <si>
    <t>Miscellaneous ( Structure items / Nut bolts / walkway/Water pipeline / GI Cable tray , Civil material etc)</t>
  </si>
  <si>
    <t>Solar Green Share</t>
  </si>
  <si>
    <t>Total</t>
  </si>
  <si>
    <t>PAYABLE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</si>
</sst>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p&quot;* #,##0.00_-;\-&quot;Rp&quot;* #,##0.00_-;_-&quot;Rp&quot;* &quot;-&quot;??_-;_-@_-"/>
    <numFmt numFmtId="164" formatCode="_ [$₹-4009]\ * #,##0.00_ ;_ [$₹-4009]\ * \-#,##0.00_ ;_ [$₹-4009]\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Bahnschrift SemiBold"/>
      <family val="2"/>
    </font>
    <font>
      <b/>
      <sz val="9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64" fontId="3" fillId="3" borderId="6" xfId="0" applyNumberFormat="1" applyFont="1" applyFill="1" applyBorder="1" applyAlignment="1">
      <alignment horizontal="center" vertical="center" wrapText="1"/>
    </xf>
    <xf numFmtId="164" fontId="3" fillId="3" borderId="7" xfId="1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164" fontId="3" fillId="3" borderId="10" xfId="1" applyNumberFormat="1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center" vertical="center" wrapText="1"/>
    </xf>
    <xf numFmtId="164" fontId="4" fillId="0" borderId="12" xfId="1" applyNumberFormat="1" applyFont="1" applyFill="1" applyBorder="1" applyAlignment="1">
      <alignment horizontal="center" vertical="center" wrapText="1"/>
    </xf>
    <xf numFmtId="2" fontId="4" fillId="0" borderId="6" xfId="0" applyNumberFormat="1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2" fontId="6" fillId="3" borderId="6" xfId="0" applyNumberFormat="1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vertical="center"/>
    </xf>
    <xf numFmtId="164" fontId="0" fillId="3" borderId="6" xfId="0" applyNumberFormat="1" applyFill="1" applyBorder="1" applyAlignment="1">
      <alignment vertical="center"/>
    </xf>
    <xf numFmtId="164" fontId="4" fillId="3" borderId="12" xfId="1" applyNumberFormat="1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164" fontId="4" fillId="2" borderId="19" xfId="1" applyNumberFormat="1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sqref="A1:G20"/>
    </sheetView>
  </sheetViews>
  <sheetFormatPr defaultRowHeight="14.4" x14ac:dyDescent="0.3"/>
  <cols>
    <col min="2" max="2" width="38.44140625" customWidth="1"/>
    <col min="3" max="3" width="14.109375" bestFit="1" customWidth="1"/>
    <col min="4" max="4" width="15.21875" bestFit="1" customWidth="1"/>
    <col min="5" max="5" width="14.44140625" bestFit="1" customWidth="1"/>
    <col min="7" max="7" width="16.21875" bestFit="1" customWidth="1"/>
  </cols>
  <sheetData>
    <row r="1" spans="1:7" ht="17.399999999999999" x14ac:dyDescent="0.3">
      <c r="A1" s="1" t="s">
        <v>0</v>
      </c>
      <c r="B1" s="2"/>
      <c r="C1" s="2"/>
      <c r="D1" s="2"/>
      <c r="E1" s="2"/>
      <c r="F1" s="2"/>
      <c r="G1" s="3"/>
    </row>
    <row r="2" spans="1:7" x14ac:dyDescent="0.3">
      <c r="A2" s="4" t="s">
        <v>1</v>
      </c>
      <c r="B2" s="5" t="s">
        <v>2</v>
      </c>
      <c r="C2" s="6" t="s">
        <v>3</v>
      </c>
      <c r="D2" s="5" t="s">
        <v>4</v>
      </c>
      <c r="E2" s="7" t="s">
        <v>5</v>
      </c>
      <c r="F2" s="5" t="s">
        <v>6</v>
      </c>
      <c r="G2" s="8" t="s">
        <v>7</v>
      </c>
    </row>
    <row r="3" spans="1:7" x14ac:dyDescent="0.3">
      <c r="A3" s="9"/>
      <c r="B3" s="10"/>
      <c r="C3" s="6"/>
      <c r="D3" s="10"/>
      <c r="E3" s="7"/>
      <c r="F3" s="10"/>
      <c r="G3" s="11"/>
    </row>
    <row r="4" spans="1:7" x14ac:dyDescent="0.3">
      <c r="A4" s="12">
        <v>1</v>
      </c>
      <c r="B4" s="13" t="s">
        <v>8</v>
      </c>
      <c r="C4" s="13">
        <v>125080</v>
      </c>
      <c r="D4" s="13">
        <v>16.3</v>
      </c>
      <c r="E4" s="14">
        <f>C4*D4</f>
        <v>2038804</v>
      </c>
      <c r="F4" s="13">
        <v>5</v>
      </c>
      <c r="G4" s="15">
        <f>E4*1.05</f>
        <v>2140744.2000000002</v>
      </c>
    </row>
    <row r="5" spans="1:7" x14ac:dyDescent="0.3">
      <c r="A5" s="12">
        <v>2</v>
      </c>
      <c r="B5" s="13" t="s">
        <v>9</v>
      </c>
      <c r="C5" s="13">
        <v>125080</v>
      </c>
      <c r="D5" s="16">
        <f>E5/C5</f>
        <v>2.0786696514230893</v>
      </c>
      <c r="E5" s="14">
        <v>260000</v>
      </c>
      <c r="F5" s="13">
        <v>5</v>
      </c>
      <c r="G5" s="15">
        <f>E5*1.05</f>
        <v>273000</v>
      </c>
    </row>
    <row r="6" spans="1:7" x14ac:dyDescent="0.3">
      <c r="A6" s="12">
        <v>3</v>
      </c>
      <c r="B6" s="13" t="s">
        <v>10</v>
      </c>
      <c r="C6" s="13">
        <v>125080</v>
      </c>
      <c r="D6" s="16">
        <f>E6/C6</f>
        <v>2.0051167252958106</v>
      </c>
      <c r="E6" s="14">
        <v>250800</v>
      </c>
      <c r="F6" s="13">
        <v>18</v>
      </c>
      <c r="G6" s="15">
        <f>E6*1.18</f>
        <v>295944</v>
      </c>
    </row>
    <row r="7" spans="1:7" x14ac:dyDescent="0.3">
      <c r="A7" s="12">
        <v>4</v>
      </c>
      <c r="B7" s="13" t="s">
        <v>11</v>
      </c>
      <c r="C7" s="13">
        <v>125080</v>
      </c>
      <c r="D7" s="16">
        <f t="shared" ref="D7:D12" si="0">E7/C7</f>
        <v>0.69187719859290053</v>
      </c>
      <c r="E7" s="14">
        <v>86540</v>
      </c>
      <c r="F7" s="13">
        <v>18</v>
      </c>
      <c r="G7" s="15">
        <f t="shared" ref="G7:G18" si="1">E7*1.18</f>
        <v>102117.2</v>
      </c>
    </row>
    <row r="8" spans="1:7" x14ac:dyDescent="0.3">
      <c r="A8" s="12">
        <v>5</v>
      </c>
      <c r="B8" s="13" t="s">
        <v>12</v>
      </c>
      <c r="C8" s="13">
        <v>125080</v>
      </c>
      <c r="D8" s="16">
        <f t="shared" si="0"/>
        <v>0.27982091461464664</v>
      </c>
      <c r="E8" s="14">
        <v>35000</v>
      </c>
      <c r="F8" s="13">
        <v>18</v>
      </c>
      <c r="G8" s="15">
        <f t="shared" si="1"/>
        <v>41300</v>
      </c>
    </row>
    <row r="9" spans="1:7" x14ac:dyDescent="0.3">
      <c r="A9" s="12">
        <v>6</v>
      </c>
      <c r="B9" s="13" t="s">
        <v>13</v>
      </c>
      <c r="C9" s="13">
        <v>125080</v>
      </c>
      <c r="D9" s="16">
        <f t="shared" si="0"/>
        <v>0.46610169491525422</v>
      </c>
      <c r="E9" s="14">
        <v>58300</v>
      </c>
      <c r="F9" s="13">
        <v>18</v>
      </c>
      <c r="G9" s="15">
        <f t="shared" si="1"/>
        <v>68794</v>
      </c>
    </row>
    <row r="10" spans="1:7" x14ac:dyDescent="0.3">
      <c r="A10" s="12">
        <v>7</v>
      </c>
      <c r="B10" s="13" t="s">
        <v>14</v>
      </c>
      <c r="C10" s="13">
        <v>125080</v>
      </c>
      <c r="D10" s="16">
        <f t="shared" si="0"/>
        <v>0.17588743204349216</v>
      </c>
      <c r="E10" s="14">
        <v>22000</v>
      </c>
      <c r="F10" s="13">
        <v>18</v>
      </c>
      <c r="G10" s="15">
        <f t="shared" si="1"/>
        <v>25960</v>
      </c>
    </row>
    <row r="11" spans="1:7" x14ac:dyDescent="0.3">
      <c r="A11" s="12">
        <v>8</v>
      </c>
      <c r="B11" s="13" t="s">
        <v>15</v>
      </c>
      <c r="C11" s="13">
        <v>125080</v>
      </c>
      <c r="D11" s="16">
        <f t="shared" si="0"/>
        <v>0.58202750239846501</v>
      </c>
      <c r="E11" s="14">
        <v>72800</v>
      </c>
      <c r="F11" s="13">
        <v>18</v>
      </c>
      <c r="G11" s="15">
        <f t="shared" si="1"/>
        <v>85904</v>
      </c>
    </row>
    <row r="12" spans="1:7" x14ac:dyDescent="0.3">
      <c r="A12" s="12">
        <v>9</v>
      </c>
      <c r="B12" s="13" t="s">
        <v>16</v>
      </c>
      <c r="C12" s="13">
        <v>125080</v>
      </c>
      <c r="D12" s="16">
        <f t="shared" si="0"/>
        <v>0.11992324912056283</v>
      </c>
      <c r="E12" s="14">
        <v>15000</v>
      </c>
      <c r="F12" s="13">
        <v>18</v>
      </c>
      <c r="G12" s="15">
        <f t="shared" si="1"/>
        <v>17700</v>
      </c>
    </row>
    <row r="13" spans="1:7" x14ac:dyDescent="0.3">
      <c r="A13" s="12">
        <v>10</v>
      </c>
      <c r="B13" s="13" t="s">
        <v>17</v>
      </c>
      <c r="C13" s="13">
        <v>125080</v>
      </c>
      <c r="D13" s="16">
        <v>2</v>
      </c>
      <c r="E13" s="14">
        <f>C13*D13</f>
        <v>250160</v>
      </c>
      <c r="F13" s="13">
        <v>18</v>
      </c>
      <c r="G13" s="15">
        <f t="shared" si="1"/>
        <v>295188.8</v>
      </c>
    </row>
    <row r="14" spans="1:7" x14ac:dyDescent="0.3">
      <c r="A14" s="12">
        <v>11</v>
      </c>
      <c r="B14" s="13" t="s">
        <v>18</v>
      </c>
      <c r="C14" s="13">
        <v>125080</v>
      </c>
      <c r="D14" s="16">
        <f>E14/C14</f>
        <v>7.8349856092101058E-2</v>
      </c>
      <c r="E14" s="14">
        <v>9800</v>
      </c>
      <c r="F14" s="13">
        <v>18</v>
      </c>
      <c r="G14" s="15">
        <f t="shared" si="1"/>
        <v>11564</v>
      </c>
    </row>
    <row r="15" spans="1:7" x14ac:dyDescent="0.3">
      <c r="A15" s="12">
        <v>12</v>
      </c>
      <c r="B15" s="13" t="s">
        <v>19</v>
      </c>
      <c r="C15" s="13">
        <v>125080</v>
      </c>
      <c r="D15" s="16">
        <f>E15/C15</f>
        <v>2.7982091461464662E-2</v>
      </c>
      <c r="E15" s="14">
        <v>3500</v>
      </c>
      <c r="F15" s="13">
        <v>18</v>
      </c>
      <c r="G15" s="15">
        <f t="shared" si="1"/>
        <v>4130</v>
      </c>
    </row>
    <row r="16" spans="1:7" x14ac:dyDescent="0.3">
      <c r="A16" s="12">
        <v>13</v>
      </c>
      <c r="B16" s="13" t="s">
        <v>20</v>
      </c>
      <c r="C16" s="13">
        <v>125080</v>
      </c>
      <c r="D16" s="16">
        <f>E16/C16</f>
        <v>0.13991045730732332</v>
      </c>
      <c r="E16" s="14">
        <v>17500</v>
      </c>
      <c r="F16" s="13">
        <v>18</v>
      </c>
      <c r="G16" s="15">
        <f t="shared" si="1"/>
        <v>20650</v>
      </c>
    </row>
    <row r="17" spans="1:7" ht="41.4" x14ac:dyDescent="0.3">
      <c r="A17" s="12">
        <v>14</v>
      </c>
      <c r="B17" s="13" t="s">
        <v>21</v>
      </c>
      <c r="C17" s="13">
        <v>125080</v>
      </c>
      <c r="D17" s="16">
        <f>E17/C17</f>
        <v>0.80748321074512308</v>
      </c>
      <c r="E17" s="14">
        <v>101000</v>
      </c>
      <c r="F17" s="13">
        <v>18</v>
      </c>
      <c r="G17" s="15">
        <f t="shared" si="1"/>
        <v>119180</v>
      </c>
    </row>
    <row r="18" spans="1:7" x14ac:dyDescent="0.3">
      <c r="A18" s="12">
        <v>15</v>
      </c>
      <c r="B18" s="13" t="s">
        <v>22</v>
      </c>
      <c r="C18" s="13">
        <v>125080</v>
      </c>
      <c r="D18" s="16">
        <f>E18/C18</f>
        <v>2.9573073233130796</v>
      </c>
      <c r="E18" s="14">
        <v>369900</v>
      </c>
      <c r="F18" s="13">
        <v>18</v>
      </c>
      <c r="G18" s="15">
        <f t="shared" si="1"/>
        <v>436482</v>
      </c>
    </row>
    <row r="19" spans="1:7" ht="20.399999999999999" x14ac:dyDescent="0.3">
      <c r="A19" s="17" t="s">
        <v>23</v>
      </c>
      <c r="B19" s="18"/>
      <c r="C19" s="19"/>
      <c r="D19" s="20">
        <f>SUM(D4:D18)</f>
        <v>28.71045730732331</v>
      </c>
      <c r="E19" s="21">
        <f>SUM(E4:E18)</f>
        <v>3591104</v>
      </c>
      <c r="F19" s="22"/>
      <c r="G19" s="23">
        <f>SUM(G4:G18)</f>
        <v>3938658.2</v>
      </c>
    </row>
    <row r="20" spans="1:7" ht="18" thickBot="1" x14ac:dyDescent="0.35">
      <c r="A20" s="24" t="s">
        <v>24</v>
      </c>
      <c r="B20" s="25"/>
      <c r="C20" s="25"/>
      <c r="D20" s="25"/>
      <c r="E20" s="25"/>
      <c r="F20" s="26"/>
      <c r="G20" s="27">
        <f>E19*1.089</f>
        <v>3910712.2560000001</v>
      </c>
    </row>
  </sheetData>
  <mergeCells count="10">
    <mergeCell ref="A19:C19"/>
    <mergeCell ref="A20:F20"/>
    <mergeCell ref="A1:G1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vardhman aameria</dc:creator>
  <cp:lastModifiedBy>vardhman aameria</cp:lastModifiedBy>
  <dcterms:created xsi:type="dcterms:W3CDTF">2026-08-13T12:05:12Z</dcterms:created>
  <dcterms:modified xsi:type="dcterms:W3CDTF">2026-08-13T12:06:51Z</dcterms:modified>
</cp:coreProperties>
</file>